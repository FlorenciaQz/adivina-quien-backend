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\Downloads\"/>
    </mc:Choice>
  </mc:AlternateContent>
  <xr:revisionPtr revIDLastSave="0" documentId="13_ncr:1_{3D0ACEC3-6C73-4939-A8A7-78A82B2DD872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ciones" sheetId="1" r:id="rId1"/>
    <sheet name="Casos de prueba" sheetId="2" r:id="rId2"/>
    <sheet name="Resumen" sheetId="3" r:id="rId3"/>
  </sheets>
  <definedNames>
    <definedName name="_xlnm._FilterDatabase" localSheetId="1" hidden="1">'Casos de prueba'!$A$1:$H$45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B15" i="3"/>
  <c r="C14" i="3"/>
  <c r="B14" i="3"/>
  <c r="C13" i="3"/>
  <c r="B13" i="3"/>
  <c r="B8" i="3"/>
  <c r="B7" i="3"/>
  <c r="B6" i="3"/>
  <c r="B5" i="3"/>
  <c r="B4" i="3"/>
  <c r="B9" i="3" l="1"/>
</calcChain>
</file>

<file path=xl/sharedStrings.xml><?xml version="1.0" encoding="utf-8"?>
<sst xmlns="http://schemas.openxmlformats.org/spreadsheetml/2006/main" count="373" uniqueCount="245">
  <si>
    <t>Adivina Quien - Plan de pruebas funcionales</t>
  </si>
  <si>
    <t>COMO EJECUTAR EL PROGRAMA FUERA DEL IDE</t>
  </si>
  <si>
    <t>Requisito: tener un JDK instalado (el .idea del repo apunta a JDK 25). Verificar con:  java -version  y  javac -version</t>
  </si>
  <si>
    <t>El proyecto no tiene Maven ni Gradle, asi que se compila a mano.</t>
  </si>
  <si>
    <t>Linux / macOS - parado en la raiz del repo:</t>
  </si>
  <si>
    <t xml:space="preserve">    javac -d out $(find src -name "*.java")</t>
  </si>
  <si>
    <t xml:space="preserve">    java -cp out adivinaquien.Main</t>
  </si>
  <si>
    <t>Windows (PowerShell) - parado en la raiz del repo:</t>
  </si>
  <si>
    <t xml:space="preserve">    javac -d out (Get-ChildItem -Recurse -Filter *.java src | ForEach-Object { $_.FullName })</t>
  </si>
  <si>
    <t>Windows (cmd):</t>
  </si>
  <si>
    <t xml:space="preserve">    dir /s /b src\*.java &gt; sources.txt</t>
  </si>
  <si>
    <t xml:space="preserve">    javac -d out @sources.txt</t>
  </si>
  <si>
    <t>IMPORTANTE</t>
  </si>
  <si>
    <t>1. Ejecutar SIEMPRE parado en la raiz del repo. MarcadorPartidas escribe marcador.properties en el directorio actual, no en la raiz del proyecto.</t>
  </si>
  <si>
    <t>2. Usar 'out' como carpeta de salida coincide con lo que ya configuro IntelliJ (.idea/misc.xml), asi no se pisan.</t>
  </si>
  <si>
    <t>3. Con JDK 18+ no hacen falta flags de encoding: UTF-8 ya es el default y los acentos salen bien.</t>
  </si>
  <si>
    <t>4. Correr al menos una tanda en una TERMINAL REAL, no en la consola de IntelliJ. ConsolaUI usa codigos ANSI para limpiar pantalla y para colorear. La consola de IntelliJ no los interpreta igual, y varios casos (sobre todo E4) solo se reproducen en terminal.</t>
  </si>
  <si>
    <t>5. En Windows usar Windows Terminal o PowerShell moderno; cmd.exe viejo no interpreta ANSI.</t>
  </si>
  <si>
    <t>PREPARACION ANTES DE CADA TANDA</t>
  </si>
  <si>
    <t>Borrar marcador.properties de la raiz del proyecto antes de empezar la primera tanda, para arrancar el marcador en cero.</t>
  </si>
  <si>
    <t>COMO USAR LA HOJA 'Casos de prueba'</t>
  </si>
  <si>
    <t>Completar unicamente las columnas ESTADO (lista desplegable: Pendiente / OK / Falla / Bloqueado / N-A) y OBSERVACIONES.</t>
  </si>
  <si>
    <t>El resto de las columnas es la definicion del caso y no hace falta tocarlas.</t>
  </si>
  <si>
    <t>La hoja 'Resumen' cuenta automaticamente los estados.</t>
  </si>
  <si>
    <t>Ejemplo de fila completada:</t>
  </si>
  <si>
    <t xml:space="preserve">    ID: E4   |   Estado: Falla   |   Observaciones: confirmado en terminal, el mensaje de la maquina se borra antes de poder leerlo</t>
  </si>
  <si>
    <t>Los casos marcados con prioridad Alta son los que tienen mas chance de sacar un problema. Si hay poco tiempo, correr solo esos.</t>
  </si>
  <si>
    <t>ID</t>
  </si>
  <si>
    <t>Grupo</t>
  </si>
  <si>
    <t>Caso</t>
  </si>
  <si>
    <t>Pasos / Entrada</t>
  </si>
  <si>
    <t>Resultado esperado</t>
  </si>
  <si>
    <t>Prioridad</t>
  </si>
  <si>
    <t>Estado</t>
  </si>
  <si>
    <t>Observaciones</t>
  </si>
  <si>
    <t>A1</t>
  </si>
  <si>
    <t>A. Menu y validacion de entrada</t>
  </si>
  <si>
    <t>Modo de juego invalido</t>
  </si>
  <si>
    <t>En 'Elegí un modo de juego' ingresar: 0, luego 3, luego 'abc', luego Enter vacío, luego '  1  ' con espacios.</t>
  </si>
  <si>
    <t>Los primeros cuatro muestran 'Opción inválida. Ingresá un número entre 1 y 2.' y vuelven a pedir. El último se acepta (hay trim).</t>
  </si>
  <si>
    <t>Media</t>
  </si>
  <si>
    <t>Pendiente</t>
  </si>
  <si>
    <t>A2</t>
  </si>
  <si>
    <t>Nombre vacio</t>
  </si>
  <si>
    <t>En '¿Cómo te llamás?' presionar Enter sin escribir nada.</t>
  </si>
  <si>
    <t>Hoy se acepta sin validar e imprime '¡Hola ! Llevás 0 victorias registradas.' Decidir si es aceptable o si hay que validar.</t>
  </si>
  <si>
    <t>A3</t>
  </si>
  <si>
    <t>Nombre con espacios y acentos</t>
  </si>
  <si>
    <t>Ingresar 'María José' como nombre.</t>
  </si>
  <si>
    <t>Se acepta, se muestra bien con acentos, y después tiene que persistir correctamente en marcador.properties (ver G4/G7).</t>
  </si>
  <si>
    <t>B1</t>
  </si>
  <si>
    <t>B. Eleccion del personaje secreto</t>
  </si>
  <si>
    <t>Orden del listado</t>
  </si>
  <si>
    <t>Observar el listado de los 23 personajes que se muestra para elegir el secreto.</t>
  </si>
  <si>
    <t>Los IDs salen DESORDENADOS: Tablero ordena por género y luego alfabético, no por ID. Confirmar si es lo deseado, porque el README habla de elegir por ID.</t>
  </si>
  <si>
    <t>B2</t>
  </si>
  <si>
    <t>ID fuera de rango o no numerico</t>
  </si>
  <si>
    <t>Ingresar 0, luego 24, luego -1, luego 'abc', luego Enter vacío.</t>
  </si>
  <si>
    <t>Todos responden 'No existe ese personaje. Probá de nuevo.' y vuelven a pedir, sin excepción.</t>
  </si>
  <si>
    <t>Alta</t>
  </si>
  <si>
    <t>B3</t>
  </si>
  <si>
    <t>ID con espacios</t>
  </si>
  <si>
    <t>Ingresar ' 7 ' con espacios adelante y atrás.</t>
  </si>
  <si>
    <t>Lo acepta (hay trim en pedirPersonajePorId).</t>
  </si>
  <si>
    <t>Baja</t>
  </si>
  <si>
    <t>B4</t>
  </si>
  <si>
    <t>Estado inicial del tablero</t>
  </si>
  <si>
    <t>Elegir un personaje válido y mirar el tablero del primer turno.</t>
  </si>
  <si>
    <t>Se muestran los 23, TODOS marcados [posible] y en verde. Ninguno descartado.</t>
  </si>
  <si>
    <t>C1</t>
  </si>
  <si>
    <t>C. Turno humano - preguntar</t>
  </si>
  <si>
    <t>Conteo tras la primera pregunta</t>
  </si>
  <si>
    <t>Elegir 'Hacer una pregunta' y después '¿Es hombre?'.</t>
  </si>
  <si>
    <t>Imprime 'X preguntó: ... -&gt; Sí/No. Quedan N candidatos.' N debe ser 13 si la respuesta es Sí y 10 si es No (13 hombres y 10 mujeres en CargaPersonajes).</t>
  </si>
  <si>
    <t>C2</t>
  </si>
  <si>
    <t>Repetir la misma pregunta</t>
  </si>
  <si>
    <t>Hacer dos veces seguidas exactamente la misma pregunta.</t>
  </si>
  <si>
    <t>La segunda no elimina a nadie y consume un turno. Nada lo impide hoy. Decidir si es aceptable o si conviene filtrar las ya hechas.</t>
  </si>
  <si>
    <t>C3</t>
  </si>
  <si>
    <t>Cadena de preguntas hasta 1 candidato</t>
  </si>
  <si>
    <t>Encadenar preguntas mirando el contador hasta llegar a 1 candidato.</t>
  </si>
  <si>
    <t>El número baja siempre, nunca sube y nunca llega a 0.</t>
  </si>
  <si>
    <t>C4</t>
  </si>
  <si>
    <t>Marcado y color del tablero</t>
  </si>
  <si>
    <t>Tras un par de preguntas, revisar el tablero completo.</t>
  </si>
  <si>
    <t>Descartados en rojo con [descartado], vigentes en verde con [posible]. En la consola de IntelliJ probablemente se vean los códigos de escape crudos.</t>
  </si>
  <si>
    <t>D1</t>
  </si>
  <si>
    <t>D. Turno humano - adivinar</t>
  </si>
  <si>
    <t>Acertar en el primer turno</t>
  </si>
  <si>
    <t>Elegir 'Adivinar un personaje' e ingresar el ID correcto en el primer turno.</t>
  </si>
  <si>
    <t>Gana, imprime '¡X gana! Llevás 1 victoria.' y pasa automáticamente a jugar contra Máquina 2.</t>
  </si>
  <si>
    <t>D2</t>
  </si>
  <si>
    <t>Fallar una adivinanza</t>
  </si>
  <si>
    <t>Adivinar un personaje incorrecto.</t>
  </si>
  <si>
    <t>Imprime 'X arriesgó con Y y no era. Se descarta y sigue el juego.' La partida NO termina y en el tablero siguiente Y aparece en rojo.</t>
  </si>
  <si>
    <t>D3</t>
  </si>
  <si>
    <t>Adivinar dos veces al mismo personaje ya descartado</t>
  </si>
  <si>
    <t>Fallar adivinando a Y. En el turno siguiente, volver a adivinar a Y.</t>
  </si>
  <si>
    <t>Hoy lo permite: pedirPersonajePorId usa el tablero completo, no los candidatos vigentes. Se pierde el turno de nuevo. Hueco real a corregir.</t>
  </si>
  <si>
    <t>D4</t>
  </si>
  <si>
    <t>Adivinar a alguien descartado por una pregunta</t>
  </si>
  <si>
    <t>Descartar a Y con una pregunta y después intentar adivinar a Y.</t>
  </si>
  <si>
    <t>Mismo hueco que D3: lo deja elegir aunque ya esté en rojo.</t>
  </si>
  <si>
    <t>E1</t>
  </si>
  <si>
    <t>E. Turno de la maquina y anti-mentira</t>
  </si>
  <si>
    <t>Responder mal a la maquina</t>
  </si>
  <si>
    <t>Cuando la máquina pregunte, contestar lo contrario a lo que corresponde a tu personaje.</t>
  </si>
  <si>
    <t>Imprime 'Eso no es cierto sobre tu personaje.' y vuelve a hacer la MISMA pregunta. No avanza el turno.</t>
  </si>
  <si>
    <t>E2</t>
  </si>
  <si>
    <t>Mentir varias veces seguidas</t>
  </si>
  <si>
    <t>Responder mal 5 veces seguidas a la misma pregunta.</t>
  </si>
  <si>
    <t>Sigue insistiendo sin romper ni avanzar. No hay forma de salir salvo contestar bien o matar el proceso. Confirmar que sea aceptable.</t>
  </si>
  <si>
    <t>E3</t>
  </si>
  <si>
    <t>Responder bien</t>
  </si>
  <si>
    <t>Contestar correctamente a la pregunta de la máquina.</t>
  </si>
  <si>
    <t>Imprime 'Máquina 1 preguntó: ... -&gt; Sí/No. Quedan N candidatos.' y pasa el turno.</t>
  </si>
  <si>
    <t>E4</t>
  </si>
  <si>
    <t>BUG ESPERADO: se borra el mensaje de la maquina</t>
  </si>
  <si>
    <t>En TERMINAL REAL (no IntelliJ): dejar que la máquina pregunte y responda, y fijarse si se alcanza a leer su mensaje antes del turno propio.</t>
  </si>
  <si>
    <t>Se espera FALLA: el turno humano llama a mostrarTablero -&gt; limpiarYMostrar, que borra la pantalla y hace desaparecer el mensaje de la máquina. Es el bug funcional mas grave detectado.</t>
  </si>
  <si>
    <t>E5</t>
  </si>
  <si>
    <t>Maquina 1 arriesga con pocos candidatos</t>
  </si>
  <si>
    <t>Jugar hasta que a Máquina 1 le queden 3 o menos candidatos.</t>
  </si>
  <si>
    <t>M1 (riesgo 70) arriesga con 3, 2 o 1 candidato. Si falla, descarta y sigue jugando sin trabarse.</t>
  </si>
  <si>
    <t>E6</t>
  </si>
  <si>
    <t>Eficiencia de la heuristica greedy</t>
  </si>
  <si>
    <t>Contar cuantas preguntas hace M1 antes de arriesgar por primera vez.</t>
  </si>
  <si>
    <t>Con 23 candidatos y cortes parejos deberían ser aproximadamente 3 preguntas para bajar a 3 o menos. Muchas mas indica que la heurística no está funcionando.</t>
  </si>
  <si>
    <t>F1</t>
  </si>
  <si>
    <t>F. Transicion a Maquina 2</t>
  </si>
  <si>
    <t>Mensaje de transicion</t>
  </si>
  <si>
    <t>Ganarle a Máquina 1.</t>
  </si>
  <si>
    <t>Imprime 'Le ganaste a Máquina 1. Ahora jugás contra Máquina 2, que ya sabe lo que Máquina 1 averiguó sobre tu personaje.'</t>
  </si>
  <si>
    <t>F2</t>
  </si>
  <si>
    <t>M2 hereda los candidatos de M1</t>
  </si>
  <si>
    <t>Ganarle a M1 y mirar el PRIMER 'Quedan N candidatos' que imprime Máquina 2.</t>
  </si>
  <si>
    <t>Debe arrancar del N donde quedó M1, no de 23. Es la prueba de que la herencia de candidatos funciona.</t>
  </si>
  <si>
    <t>F3</t>
  </si>
  <si>
    <t>Caso borde: M2 hereda un solo candidato</t>
  </si>
  <si>
    <t>Ganarle a M1 justo cuando a M1 ya le quedaba 1 solo candidato (o sea, ya te tenía identificado).</t>
  </si>
  <si>
    <t>M2 hereda una lista de 1, arriesga en su primer turno y acierta. Se pierde si o si tras un unico turno propio. Confirmar si es aceptable como diseño.</t>
  </si>
  <si>
    <t>F4</t>
  </si>
  <si>
    <t>Perder contra M1</t>
  </si>
  <si>
    <t>Dejar que Máquina 1 adivine tu personaje.</t>
  </si>
  <si>
    <t>Imprime 'Se mantienen tus N victorias', NO incrementa el marcador, NO pasa a M2 y el programa termina. No hay opción de volver a jugar. Confirmar si es lo esperado.</t>
  </si>
  <si>
    <t>F5</t>
  </si>
  <si>
    <t>Ganar las dos partidas</t>
  </si>
  <si>
    <t>Ganarle a M1 y después a M2 en la misma corrida.</t>
  </si>
  <si>
    <t>Quedan 2 victorias registradas, contadas por separado.</t>
  </si>
  <si>
    <t>F6</t>
  </si>
  <si>
    <t>Persistencia del secreto humano</t>
  </si>
  <si>
    <t>Al pasar de M1 a M2, verificar si vuelve a pedir el personaje secreto.</t>
  </si>
  <si>
    <t>No lo vuelve a pedir: se conserva el mismo secreto en ambas partidas.</t>
  </si>
  <si>
    <t>F7</t>
  </si>
  <si>
    <t>Secreto de la maquina igual al del humano</t>
  </si>
  <si>
    <t>Repetir partidas hasta que el secreto de la máquina coincida con el personaje elegido por vos.</t>
  </si>
  <si>
    <t>Está permitido a proposito segun reglas.md. No debe romper nada ni dar ventaja.</t>
  </si>
  <si>
    <t>G1</t>
  </si>
  <si>
    <t>G. Marcador y persistencia</t>
  </si>
  <si>
    <t>Primera corrida sin archivo</t>
  </si>
  <si>
    <t>Borrar marcador.properties y arrancar el juego.</t>
  </si>
  <si>
    <t>'Llevás 0 victorias registradas', sin error ni excepción.</t>
  </si>
  <si>
    <t>G2</t>
  </si>
  <si>
    <t>Persistencia entre corridas</t>
  </si>
  <si>
    <t>Ganar una partida, cerrar el programa, volver a entrar con el MISMO nombre.</t>
  </si>
  <si>
    <t>'Llevás 1 victoria registrada'. El archivo marcador.properties existe en el directorio desde el que se ejecuto.</t>
  </si>
  <si>
    <t>G3</t>
  </si>
  <si>
    <t>Contadores independientes por nombre</t>
  </si>
  <si>
    <t>Entrar con un nombre distinto al que ya tiene victorias.</t>
  </si>
  <si>
    <t>Arranca en 0. Los contadores no se mezclan.</t>
  </si>
  <si>
    <t>G4</t>
  </si>
  <si>
    <t>Normalizacion del nombre</t>
  </si>
  <si>
    <t>Entrar como 'Flor' y ganar. Después entrar como ' Flor ' (con espacios) y como 'flor' (minúscula).</t>
  </si>
  <si>
    <t>Con espacios SI reconoce el record (hay trim). En minúscula NO: son claves distintas. Confirmar si se quiere normalizar a minúsculas.</t>
  </si>
  <si>
    <t>G5</t>
  </si>
  <si>
    <t>Archivo corrupto</t>
  </si>
  <si>
    <t>Editar marcador.properties a mano y poner un valor no numérico, por ejemplo Flor=hola. Arrancar el juego.</t>
  </si>
  <si>
    <t>Lee 0 y sigue funcionando, sin explotar.</t>
  </si>
  <si>
    <t>G6</t>
  </si>
  <si>
    <t>Archivo de solo lectura</t>
  </si>
  <si>
    <t>Poner marcador.properties en solo lectura y ganar una partida.</t>
  </si>
  <si>
    <t>El juego no se rompe (el catch es silencioso); la victoria simplemente no persiste. Verificar que el mensaje en pantalla no mienta diciendo que se guardo.</t>
  </si>
  <si>
    <t>G7</t>
  </si>
  <si>
    <t>Nombre con caracteres especiales</t>
  </si>
  <si>
    <t>Usar un nombre con '=' o ':' adentro, por ejemplo 'Flor=1'. Ganar y reabrir el archivo.</t>
  </si>
  <si>
    <t>Properties debería escaparlo bien en el round-trip. Confirmar abriendo marcador.properties con un editor.</t>
  </si>
  <si>
    <t>H1</t>
  </si>
  <si>
    <t>H. Maquina vs Maquina</t>
  </si>
  <si>
    <t>Estabilidad en corridas repetidas</t>
  </si>
  <si>
    <t>Correr el modo Maquina vs Maquina 10 veces seguidas.</t>
  </si>
  <si>
    <t>Siempre termina, nunca se cuelga y nunca tira IndexOutOfBoundsException. Es la forma mas rapida de detectar el caso de lista de candidatos vacia.</t>
  </si>
  <si>
    <t>H2</t>
  </si>
  <si>
    <t>Invariante del contador</t>
  </si>
  <si>
    <t>En cada corrida, seguir el 'Quedan N candidatos' de cada maquina.</t>
  </si>
  <si>
    <t>Nunca llega a 0 y es siempre decreciente para cada maquina por separado.</t>
  </si>
  <si>
    <t>H3</t>
  </si>
  <si>
    <t>Comparacion de heuristicas</t>
  </si>
  <si>
    <t>Comparar cuantos turnos tarda M1 (corte parejo) contra M2 (corte desparejo) a lo largo de varias corridas.</t>
  </si>
  <si>
    <t>M2 deberia ser sistematicamente peor. Si no hay diferencia, la comparacion de heuristicas no demuestra nada y conviene revisarla.</t>
  </si>
  <si>
    <t>H4</t>
  </si>
  <si>
    <t>Mensaje duplicado al arriesgar</t>
  </si>
  <si>
    <t>Observar el momento en que una maquina arriesga.</t>
  </si>
  <si>
    <t>Salen DOS lineas sobre la misma jugada: 'M1 arriesga y adivina: X (tenia N candidatos posibles).' y despues 'M1 arriesgo con X y no era.' En Humano vs Maquina sale una sola. Inconsistencia entre modos.</t>
  </si>
  <si>
    <t>H5</t>
  </si>
  <si>
    <t>No se limpia la pantalla</t>
  </si>
  <si>
    <t>Correr una partida larga y verificar que quede el registro completo en pantalla.</t>
  </si>
  <si>
    <t>No deberia limpiarse: mostrarTablero no se llama en este modo. Sirve de contraste contra el caso E4.</t>
  </si>
  <si>
    <t>I1</t>
  </si>
  <si>
    <t>I. Contra la consigna del README</t>
  </si>
  <si>
    <t>Falta el comodin</t>
  </si>
  <si>
    <t>Buscar en el menu la opcion de comodin (agrupar en grupos de 3 o 4 e informar el rango).</t>
  </si>
  <si>
    <t>NO EXISTE en el codigo. El README lo pide explicitamente.</t>
  </si>
  <si>
    <t>I2</t>
  </si>
  <si>
    <t>Falta busqueda lineal y por agrupacion</t>
  </si>
  <si>
    <t>Buscar los metodos de resolucion automatica 'busqueda lineal' y 'busqueda por agrupacion'.</t>
  </si>
  <si>
    <t>NO EXISTEN. Solo hay greedy sobre preguntas, que es otra cosa.</t>
  </si>
  <si>
    <t>I3</t>
  </si>
  <si>
    <t>Cantidad de personajes</t>
  </si>
  <si>
    <t>Contar los personajes del listado.</t>
  </si>
  <si>
    <t>Son 23. El README dice 7. Confirmar cual es la consigna vigente.</t>
  </si>
  <si>
    <t>I4</t>
  </si>
  <si>
    <t>Falta el atributo Estado</t>
  </si>
  <si>
    <t>Buscar el atributo 'Estado' (es o no EL ELEGIDO) en la ficha del personaje.</t>
  </si>
  <si>
    <t>NO ESTA en la clase Personaje. El README lo lista como atributo obligatorio.</t>
  </si>
  <si>
    <t>Resumen de ejecucion</t>
  </si>
  <si>
    <t>Cantidad</t>
  </si>
  <si>
    <t>OK</t>
  </si>
  <si>
    <t>Falla</t>
  </si>
  <si>
    <t>Bloqueado</t>
  </si>
  <si>
    <t>N-A</t>
  </si>
  <si>
    <t>TOTAL</t>
  </si>
  <si>
    <t>Por prioridad (solo los que todavia estan Pendiente)</t>
  </si>
  <si>
    <t>Pendientes</t>
  </si>
  <si>
    <t>Total</t>
  </si>
  <si>
    <t>Los contadores se actualizan solos a partir de la columna Estado de la hoja 'Casos de prueba'. No hay numeros cargados a mano.</t>
  </si>
  <si>
    <t>Tengo Java 17, me pone caracteres súper raros.</t>
  </si>
  <si>
    <t>Se muestran desordenados, pero siempre en el mismo orden, con el criterio indicado: queremos que haga eso, o que el orden sea aleatorio de verdad?</t>
  </si>
  <si>
    <t>Esto en realidad es un bug</t>
  </si>
  <si>
    <t>Este bug me parece que lo inventó Claude, a mí me funciona bien. Reprobar.</t>
  </si>
  <si>
    <t>No sé cómo hacer esto, me gana siempre la máquina 2.</t>
  </si>
  <si>
    <t>Será una prueba para otro momento</t>
  </si>
  <si>
    <t>A ver: M2 siempre arriesga, pero como le quedan pocos candidatos, termina acertando.</t>
  </si>
  <si>
    <t>Pasa eso, pero no es malo. Quizás lo podemos emprolijar para la próxima entrega.</t>
  </si>
  <si>
    <t>Lo pide la versión vieja creo.</t>
  </si>
  <si>
    <t>No sé si es así o no, no recuerdo.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</si>
</sst>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sz val="10"/>
      <name val="Consolas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i/>
      <sz val="9"/>
      <name val="Arial"/>
      <charset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2" fillId="5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0" fontId="7" fillId="0" borderId="0" xfId="0" applyFont="1"/>
    <xf numFmtId="0" fontId="6" fillId="4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0" xfId="0" applyFont="1"/>
    <xf numFmtId="0" fontId="9" fillId="3" borderId="0" xfId="0" applyFont="1" applyFill="1"/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1" fillId="6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1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showGridLines="0" topLeftCell="A21" zoomScaleNormal="100" workbookViewId="0"/>
  </sheetViews>
  <sheetFormatPr baseColWidth="10" defaultColWidth="8.6328125" defaultRowHeight="14.5" x14ac:dyDescent="0.35"/>
  <cols>
    <col min="1" max="1" width="130" customWidth="1"/>
  </cols>
  <sheetData>
    <row r="1" spans="1:1" ht="20" x14ac:dyDescent="0.35">
      <c r="A1" s="1" t="s">
        <v>0</v>
      </c>
    </row>
    <row r="2" spans="1:1" x14ac:dyDescent="0.35">
      <c r="A2" s="2"/>
    </row>
    <row r="3" spans="1:1" ht="15.5" x14ac:dyDescent="0.35">
      <c r="A3" s="3" t="s">
        <v>1</v>
      </c>
    </row>
    <row r="4" spans="1:1" x14ac:dyDescent="0.35">
      <c r="A4" s="2"/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/>
    </row>
    <row r="8" spans="1:1" x14ac:dyDescent="0.35">
      <c r="A8" s="4" t="s">
        <v>4</v>
      </c>
    </row>
    <row r="9" spans="1:1" x14ac:dyDescent="0.35">
      <c r="A9" s="5" t="s">
        <v>5</v>
      </c>
    </row>
    <row r="10" spans="1:1" x14ac:dyDescent="0.35">
      <c r="A10" s="5" t="s">
        <v>6</v>
      </c>
    </row>
    <row r="11" spans="1:1" x14ac:dyDescent="0.35">
      <c r="A11" s="2"/>
    </row>
    <row r="12" spans="1:1" x14ac:dyDescent="0.35">
      <c r="A12" s="4" t="s">
        <v>7</v>
      </c>
    </row>
    <row r="13" spans="1:1" x14ac:dyDescent="0.35">
      <c r="A13" s="5" t="s">
        <v>8</v>
      </c>
    </row>
    <row r="14" spans="1:1" x14ac:dyDescent="0.35">
      <c r="A14" s="5" t="s">
        <v>6</v>
      </c>
    </row>
    <row r="15" spans="1:1" x14ac:dyDescent="0.35">
      <c r="A15" s="2"/>
    </row>
    <row r="16" spans="1:1" x14ac:dyDescent="0.35">
      <c r="A16" s="4" t="s">
        <v>9</v>
      </c>
    </row>
    <row r="17" spans="1:1" x14ac:dyDescent="0.35">
      <c r="A17" s="5" t="s">
        <v>10</v>
      </c>
    </row>
    <row r="18" spans="1:1" x14ac:dyDescent="0.35">
      <c r="A18" s="5" t="s">
        <v>11</v>
      </c>
    </row>
    <row r="19" spans="1:1" x14ac:dyDescent="0.35">
      <c r="A19" s="5" t="s">
        <v>6</v>
      </c>
    </row>
    <row r="20" spans="1:1" x14ac:dyDescent="0.35">
      <c r="A20" s="2"/>
    </row>
    <row r="21" spans="1:1" ht="15.5" x14ac:dyDescent="0.35">
      <c r="A21" s="3" t="s">
        <v>12</v>
      </c>
    </row>
    <row r="22" spans="1:1" x14ac:dyDescent="0.35">
      <c r="A22" s="2"/>
    </row>
    <row r="23" spans="1:1" x14ac:dyDescent="0.35">
      <c r="A23" s="2" t="s">
        <v>13</v>
      </c>
    </row>
    <row r="24" spans="1:1" x14ac:dyDescent="0.35">
      <c r="A24" s="2" t="s">
        <v>14</v>
      </c>
    </row>
    <row r="25" spans="1:1" x14ac:dyDescent="0.35">
      <c r="A25" s="2" t="s">
        <v>15</v>
      </c>
    </row>
    <row r="26" spans="1:1" ht="25" x14ac:dyDescent="0.35">
      <c r="A26" s="2" t="s">
        <v>16</v>
      </c>
    </row>
    <row r="27" spans="1:1" x14ac:dyDescent="0.35">
      <c r="A27" s="2" t="s">
        <v>17</v>
      </c>
    </row>
    <row r="28" spans="1:1" x14ac:dyDescent="0.35">
      <c r="A28" s="2"/>
    </row>
    <row r="29" spans="1:1" ht="15.5" x14ac:dyDescent="0.35">
      <c r="A29" s="3" t="s">
        <v>18</v>
      </c>
    </row>
    <row r="30" spans="1:1" x14ac:dyDescent="0.35">
      <c r="A30" s="2"/>
    </row>
    <row r="31" spans="1:1" x14ac:dyDescent="0.35">
      <c r="A31" s="2" t="s">
        <v>19</v>
      </c>
    </row>
    <row r="32" spans="1:1" x14ac:dyDescent="0.35">
      <c r="A32" s="2"/>
    </row>
    <row r="33" spans="1:1" ht="15.5" x14ac:dyDescent="0.35">
      <c r="A33" s="3" t="s">
        <v>20</v>
      </c>
    </row>
    <row r="34" spans="1:1" x14ac:dyDescent="0.35">
      <c r="A34" s="2"/>
    </row>
    <row r="35" spans="1:1" x14ac:dyDescent="0.35">
      <c r="A35" s="2" t="s">
        <v>21</v>
      </c>
    </row>
    <row r="36" spans="1:1" x14ac:dyDescent="0.35">
      <c r="A36" s="2" t="s">
        <v>22</v>
      </c>
    </row>
    <row r="37" spans="1:1" x14ac:dyDescent="0.35">
      <c r="A37" s="2" t="s">
        <v>23</v>
      </c>
    </row>
    <row r="38" spans="1:1" x14ac:dyDescent="0.35">
      <c r="A38" s="2"/>
    </row>
    <row r="39" spans="1:1" x14ac:dyDescent="0.35">
      <c r="A39" s="4" t="s">
        <v>24</v>
      </c>
    </row>
    <row r="40" spans="1:1" ht="26" x14ac:dyDescent="0.35">
      <c r="A40" s="5" t="s">
        <v>25</v>
      </c>
    </row>
    <row r="41" spans="1:1" x14ac:dyDescent="0.35">
      <c r="A41" s="2"/>
    </row>
    <row r="42" spans="1:1" x14ac:dyDescent="0.35">
      <c r="A42" s="2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abSelected="1" zoomScaleNormal="100" workbookViewId="0">
      <pane xSplit="2" ySplit="1" topLeftCell="D37" activePane="bottomRight" state="frozen"/>
      <selection pane="topRight" activeCell="C1" sqref="C1"/>
      <selection pane="bottomLeft" activeCell="A2" sqref="A2"/>
      <selection pane="bottomRight" activeCell="H46" sqref="H46"/>
    </sheetView>
  </sheetViews>
  <sheetFormatPr baseColWidth="10" defaultColWidth="8.6328125" defaultRowHeight="14.5" x14ac:dyDescent="0.35"/>
  <cols>
    <col min="1" max="1" width="6" customWidth="1"/>
    <col min="2" max="2" width="26" customWidth="1"/>
    <col min="3" max="3" width="34" customWidth="1"/>
    <col min="4" max="4" width="52" customWidth="1"/>
    <col min="5" max="5" width="62" customWidth="1"/>
    <col min="6" max="6" width="10" customWidth="1"/>
    <col min="7" max="7" width="13" customWidth="1"/>
    <col min="8" max="8" width="34" customWidth="1"/>
  </cols>
  <sheetData>
    <row r="1" spans="1:8" ht="27.75" customHeight="1" x14ac:dyDescent="0.3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</row>
    <row r="2" spans="1:8" ht="25" x14ac:dyDescent="0.35">
      <c r="A2" s="7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9" t="s">
        <v>40</v>
      </c>
      <c r="G2" s="10" t="s">
        <v>226</v>
      </c>
      <c r="H2" s="8"/>
    </row>
    <row r="3" spans="1:8" ht="25" x14ac:dyDescent="0.35">
      <c r="A3" s="11" t="s">
        <v>42</v>
      </c>
      <c r="B3" s="12" t="s">
        <v>36</v>
      </c>
      <c r="C3" s="12" t="s">
        <v>43</v>
      </c>
      <c r="D3" s="12" t="s">
        <v>44</v>
      </c>
      <c r="E3" s="12" t="s">
        <v>45</v>
      </c>
      <c r="F3" s="13" t="s">
        <v>40</v>
      </c>
      <c r="G3" s="14" t="s">
        <v>226</v>
      </c>
      <c r="H3" s="12"/>
    </row>
    <row r="4" spans="1:8" ht="25" x14ac:dyDescent="0.35">
      <c r="A4" s="11" t="s">
        <v>46</v>
      </c>
      <c r="B4" s="12" t="s">
        <v>36</v>
      </c>
      <c r="C4" s="12" t="s">
        <v>47</v>
      </c>
      <c r="D4" s="12" t="s">
        <v>48</v>
      </c>
      <c r="E4" s="12" t="s">
        <v>49</v>
      </c>
      <c r="F4" s="13" t="s">
        <v>40</v>
      </c>
      <c r="G4" s="14" t="s">
        <v>229</v>
      </c>
      <c r="H4" s="12" t="s">
        <v>235</v>
      </c>
    </row>
    <row r="5" spans="1:8" ht="62.5" x14ac:dyDescent="0.35">
      <c r="A5" s="7" t="s">
        <v>50</v>
      </c>
      <c r="B5" s="8" t="s">
        <v>51</v>
      </c>
      <c r="C5" s="8" t="s">
        <v>52</v>
      </c>
      <c r="D5" s="8" t="s">
        <v>53</v>
      </c>
      <c r="E5" s="8" t="s">
        <v>54</v>
      </c>
      <c r="F5" s="9" t="s">
        <v>40</v>
      </c>
      <c r="G5" s="10" t="s">
        <v>226</v>
      </c>
      <c r="H5" s="8" t="s">
        <v>236</v>
      </c>
    </row>
    <row r="6" spans="1:8" ht="25" x14ac:dyDescent="0.35">
      <c r="A6" s="11" t="s">
        <v>55</v>
      </c>
      <c r="B6" s="12" t="s">
        <v>51</v>
      </c>
      <c r="C6" s="12" t="s">
        <v>56</v>
      </c>
      <c r="D6" s="12" t="s">
        <v>57</v>
      </c>
      <c r="E6" s="12" t="s">
        <v>58</v>
      </c>
      <c r="F6" s="15" t="s">
        <v>59</v>
      </c>
      <c r="G6" s="14" t="s">
        <v>226</v>
      </c>
      <c r="H6" s="12"/>
    </row>
    <row r="7" spans="1:8" ht="25" x14ac:dyDescent="0.35">
      <c r="A7" s="11" t="s">
        <v>60</v>
      </c>
      <c r="B7" s="12" t="s">
        <v>51</v>
      </c>
      <c r="C7" s="12" t="s">
        <v>61</v>
      </c>
      <c r="D7" s="12" t="s">
        <v>62</v>
      </c>
      <c r="E7" s="12" t="s">
        <v>63</v>
      </c>
      <c r="F7" s="16" t="s">
        <v>64</v>
      </c>
      <c r="G7" s="14" t="s">
        <v>226</v>
      </c>
      <c r="H7" s="12"/>
    </row>
    <row r="8" spans="1:8" ht="25" x14ac:dyDescent="0.35">
      <c r="A8" s="11" t="s">
        <v>65</v>
      </c>
      <c r="B8" s="12" t="s">
        <v>51</v>
      </c>
      <c r="C8" s="12" t="s">
        <v>66</v>
      </c>
      <c r="D8" s="12" t="s">
        <v>67</v>
      </c>
      <c r="E8" s="12" t="s">
        <v>68</v>
      </c>
      <c r="F8" s="13" t="s">
        <v>40</v>
      </c>
      <c r="G8" s="14" t="s">
        <v>226</v>
      </c>
      <c r="H8" s="12"/>
    </row>
    <row r="9" spans="1:8" ht="37.5" x14ac:dyDescent="0.35">
      <c r="A9" s="7" t="s">
        <v>69</v>
      </c>
      <c r="B9" s="8" t="s">
        <v>70</v>
      </c>
      <c r="C9" s="8" t="s">
        <v>71</v>
      </c>
      <c r="D9" s="8" t="s">
        <v>72</v>
      </c>
      <c r="E9" s="8" t="s">
        <v>73</v>
      </c>
      <c r="F9" s="17" t="s">
        <v>59</v>
      </c>
      <c r="G9" s="10" t="s">
        <v>226</v>
      </c>
      <c r="H9" s="8"/>
    </row>
    <row r="10" spans="1:8" ht="25" x14ac:dyDescent="0.35">
      <c r="A10" s="11" t="s">
        <v>74</v>
      </c>
      <c r="B10" s="12" t="s">
        <v>70</v>
      </c>
      <c r="C10" s="12" t="s">
        <v>75</v>
      </c>
      <c r="D10" s="12" t="s">
        <v>76</v>
      </c>
      <c r="E10" s="12" t="s">
        <v>77</v>
      </c>
      <c r="F10" s="13" t="s">
        <v>40</v>
      </c>
      <c r="G10" s="14" t="s">
        <v>226</v>
      </c>
      <c r="H10" s="12"/>
    </row>
    <row r="11" spans="1:8" ht="25" x14ac:dyDescent="0.35">
      <c r="A11" s="11" t="s">
        <v>78</v>
      </c>
      <c r="B11" s="12" t="s">
        <v>70</v>
      </c>
      <c r="C11" s="12" t="s">
        <v>79</v>
      </c>
      <c r="D11" s="12" t="s">
        <v>80</v>
      </c>
      <c r="E11" s="12" t="s">
        <v>81</v>
      </c>
      <c r="F11" s="15" t="s">
        <v>59</v>
      </c>
      <c r="G11" s="14" t="s">
        <v>226</v>
      </c>
      <c r="H11" s="12"/>
    </row>
    <row r="12" spans="1:8" ht="25" x14ac:dyDescent="0.35">
      <c r="A12" s="11" t="s">
        <v>82</v>
      </c>
      <c r="B12" s="12" t="s">
        <v>70</v>
      </c>
      <c r="C12" s="12" t="s">
        <v>83</v>
      </c>
      <c r="D12" s="12" t="s">
        <v>84</v>
      </c>
      <c r="E12" s="12" t="s">
        <v>85</v>
      </c>
      <c r="F12" s="13" t="s">
        <v>40</v>
      </c>
      <c r="G12" s="14" t="s">
        <v>226</v>
      </c>
      <c r="H12" s="12"/>
    </row>
    <row r="13" spans="1:8" ht="25" x14ac:dyDescent="0.35">
      <c r="A13" s="7" t="s">
        <v>86</v>
      </c>
      <c r="B13" s="8" t="s">
        <v>87</v>
      </c>
      <c r="C13" s="8" t="s">
        <v>88</v>
      </c>
      <c r="D13" s="8" t="s">
        <v>89</v>
      </c>
      <c r="E13" s="8" t="s">
        <v>90</v>
      </c>
      <c r="F13" s="17" t="s">
        <v>59</v>
      </c>
      <c r="G13" s="10" t="s">
        <v>226</v>
      </c>
      <c r="H13" s="8"/>
    </row>
    <row r="14" spans="1:8" ht="25" x14ac:dyDescent="0.35">
      <c r="A14" s="11" t="s">
        <v>91</v>
      </c>
      <c r="B14" s="12" t="s">
        <v>87</v>
      </c>
      <c r="C14" s="12" t="s">
        <v>92</v>
      </c>
      <c r="D14" s="12" t="s">
        <v>93</v>
      </c>
      <c r="E14" s="12" t="s">
        <v>94</v>
      </c>
      <c r="F14" s="15" t="s">
        <v>59</v>
      </c>
      <c r="G14" s="14" t="s">
        <v>226</v>
      </c>
      <c r="H14" s="12"/>
    </row>
    <row r="15" spans="1:8" ht="25" x14ac:dyDescent="0.35">
      <c r="A15" s="26" t="s">
        <v>95</v>
      </c>
      <c r="B15" s="27" t="s">
        <v>87</v>
      </c>
      <c r="C15" s="27" t="s">
        <v>96</v>
      </c>
      <c r="D15" s="27" t="s">
        <v>97</v>
      </c>
      <c r="E15" s="27" t="s">
        <v>98</v>
      </c>
      <c r="F15" s="29" t="s">
        <v>59</v>
      </c>
      <c r="G15" s="30" t="s">
        <v>229</v>
      </c>
      <c r="H15" s="27" t="s">
        <v>237</v>
      </c>
    </row>
    <row r="16" spans="1:8" ht="25" x14ac:dyDescent="0.35">
      <c r="A16" s="26" t="s">
        <v>99</v>
      </c>
      <c r="B16" s="27" t="s">
        <v>87</v>
      </c>
      <c r="C16" s="27" t="s">
        <v>100</v>
      </c>
      <c r="D16" s="27" t="s">
        <v>101</v>
      </c>
      <c r="E16" s="27" t="s">
        <v>102</v>
      </c>
      <c r="F16" s="31" t="s">
        <v>40</v>
      </c>
      <c r="G16" s="30" t="s">
        <v>229</v>
      </c>
      <c r="H16" s="27" t="s">
        <v>237</v>
      </c>
    </row>
    <row r="17" spans="1:8" ht="25" x14ac:dyDescent="0.35">
      <c r="A17" s="7" t="s">
        <v>103</v>
      </c>
      <c r="B17" s="8" t="s">
        <v>104</v>
      </c>
      <c r="C17" s="8" t="s">
        <v>105</v>
      </c>
      <c r="D17" s="8" t="s">
        <v>106</v>
      </c>
      <c r="E17" s="8" t="s">
        <v>107</v>
      </c>
      <c r="F17" s="17" t="s">
        <v>59</v>
      </c>
      <c r="G17" s="10" t="s">
        <v>226</v>
      </c>
      <c r="H17" s="8"/>
    </row>
    <row r="18" spans="1:8" ht="25" x14ac:dyDescent="0.35">
      <c r="A18" s="11" t="s">
        <v>108</v>
      </c>
      <c r="B18" s="12" t="s">
        <v>104</v>
      </c>
      <c r="C18" s="12" t="s">
        <v>109</v>
      </c>
      <c r="D18" s="12" t="s">
        <v>110</v>
      </c>
      <c r="E18" s="12" t="s">
        <v>111</v>
      </c>
      <c r="F18" s="13" t="s">
        <v>40</v>
      </c>
      <c r="G18" s="14" t="s">
        <v>226</v>
      </c>
      <c r="H18" s="12"/>
    </row>
    <row r="19" spans="1:8" ht="25" x14ac:dyDescent="0.35">
      <c r="A19" s="11" t="s">
        <v>112</v>
      </c>
      <c r="B19" s="12" t="s">
        <v>104</v>
      </c>
      <c r="C19" s="12" t="s">
        <v>113</v>
      </c>
      <c r="D19" s="12" t="s">
        <v>114</v>
      </c>
      <c r="E19" s="12" t="s">
        <v>115</v>
      </c>
      <c r="F19" s="15" t="s">
        <v>59</v>
      </c>
      <c r="G19" s="14" t="s">
        <v>226</v>
      </c>
      <c r="H19" s="12"/>
    </row>
    <row r="20" spans="1:8" ht="37.5" x14ac:dyDescent="0.35">
      <c r="A20" s="11" t="s">
        <v>116</v>
      </c>
      <c r="B20" s="12" t="s">
        <v>104</v>
      </c>
      <c r="C20" s="12" t="s">
        <v>117</v>
      </c>
      <c r="D20" s="12" t="s">
        <v>118</v>
      </c>
      <c r="E20" s="12" t="s">
        <v>119</v>
      </c>
      <c r="F20" s="15" t="s">
        <v>59</v>
      </c>
      <c r="G20" s="14" t="s">
        <v>226</v>
      </c>
      <c r="H20" s="28" t="s">
        <v>238</v>
      </c>
    </row>
    <row r="21" spans="1:8" ht="25" x14ac:dyDescent="0.35">
      <c r="A21" s="11" t="s">
        <v>120</v>
      </c>
      <c r="B21" s="12" t="s">
        <v>104</v>
      </c>
      <c r="C21" s="12" t="s">
        <v>121</v>
      </c>
      <c r="D21" s="12" t="s">
        <v>122</v>
      </c>
      <c r="E21" s="12" t="s">
        <v>123</v>
      </c>
      <c r="F21" s="15" t="s">
        <v>59</v>
      </c>
      <c r="G21" s="14" t="s">
        <v>226</v>
      </c>
      <c r="H21" s="12"/>
    </row>
    <row r="22" spans="1:8" ht="37.5" x14ac:dyDescent="0.35">
      <c r="A22" s="11" t="s">
        <v>124</v>
      </c>
      <c r="B22" s="12" t="s">
        <v>104</v>
      </c>
      <c r="C22" s="12" t="s">
        <v>125</v>
      </c>
      <c r="D22" s="12" t="s">
        <v>126</v>
      </c>
      <c r="E22" s="12" t="s">
        <v>127</v>
      </c>
      <c r="F22" s="13" t="s">
        <v>40</v>
      </c>
      <c r="G22" s="14" t="s">
        <v>226</v>
      </c>
      <c r="H22" s="12"/>
    </row>
    <row r="23" spans="1:8" ht="25" x14ac:dyDescent="0.35">
      <c r="A23" s="7" t="s">
        <v>128</v>
      </c>
      <c r="B23" s="8" t="s">
        <v>129</v>
      </c>
      <c r="C23" s="8" t="s">
        <v>130</v>
      </c>
      <c r="D23" s="8" t="s">
        <v>131</v>
      </c>
      <c r="E23" s="8" t="s">
        <v>132</v>
      </c>
      <c r="F23" s="9" t="s">
        <v>40</v>
      </c>
      <c r="G23" s="10" t="s">
        <v>226</v>
      </c>
      <c r="H23" s="8"/>
    </row>
    <row r="24" spans="1:8" ht="25" x14ac:dyDescent="0.35">
      <c r="A24" s="11" t="s">
        <v>133</v>
      </c>
      <c r="B24" s="12" t="s">
        <v>129</v>
      </c>
      <c r="C24" s="12" t="s">
        <v>134</v>
      </c>
      <c r="D24" s="12" t="s">
        <v>135</v>
      </c>
      <c r="E24" s="12" t="s">
        <v>136</v>
      </c>
      <c r="F24" s="15" t="s">
        <v>59</v>
      </c>
      <c r="G24" s="14" t="s">
        <v>226</v>
      </c>
      <c r="H24" s="12"/>
    </row>
    <row r="25" spans="1:8" ht="25" x14ac:dyDescent="0.35">
      <c r="A25" s="11" t="s">
        <v>137</v>
      </c>
      <c r="B25" s="12" t="s">
        <v>129</v>
      </c>
      <c r="C25" s="12" t="s">
        <v>138</v>
      </c>
      <c r="D25" s="12" t="s">
        <v>139</v>
      </c>
      <c r="E25" s="12" t="s">
        <v>140</v>
      </c>
      <c r="F25" s="15" t="s">
        <v>59</v>
      </c>
      <c r="G25" s="14" t="s">
        <v>226</v>
      </c>
      <c r="H25" s="12"/>
    </row>
    <row r="26" spans="1:8" ht="37.5" x14ac:dyDescent="0.35">
      <c r="A26" s="11" t="s">
        <v>141</v>
      </c>
      <c r="B26" s="12" t="s">
        <v>129</v>
      </c>
      <c r="C26" s="12" t="s">
        <v>142</v>
      </c>
      <c r="D26" s="12" t="s">
        <v>143</v>
      </c>
      <c r="E26" s="12" t="s">
        <v>144</v>
      </c>
      <c r="F26" s="15" t="s">
        <v>59</v>
      </c>
      <c r="G26" s="14" t="s">
        <v>226</v>
      </c>
      <c r="H26" s="12"/>
    </row>
    <row r="27" spans="1:8" ht="25" x14ac:dyDescent="0.35">
      <c r="A27" s="11" t="s">
        <v>145</v>
      </c>
      <c r="B27" s="12" t="s">
        <v>129</v>
      </c>
      <c r="C27" s="12" t="s">
        <v>146</v>
      </c>
      <c r="D27" s="12" t="s">
        <v>147</v>
      </c>
      <c r="E27" s="12" t="s">
        <v>148</v>
      </c>
      <c r="F27" s="15" t="s">
        <v>59</v>
      </c>
      <c r="G27" s="14" t="s">
        <v>41</v>
      </c>
      <c r="H27" s="28" t="s">
        <v>239</v>
      </c>
    </row>
    <row r="28" spans="1:8" ht="25" x14ac:dyDescent="0.35">
      <c r="A28" s="11" t="s">
        <v>149</v>
      </c>
      <c r="B28" s="12" t="s">
        <v>129</v>
      </c>
      <c r="C28" s="12" t="s">
        <v>150</v>
      </c>
      <c r="D28" s="12" t="s">
        <v>151</v>
      </c>
      <c r="E28" s="12" t="s">
        <v>152</v>
      </c>
      <c r="F28" s="13" t="s">
        <v>40</v>
      </c>
      <c r="G28" s="14" t="s">
        <v>226</v>
      </c>
      <c r="H28" s="12"/>
    </row>
    <row r="29" spans="1:8" ht="25" x14ac:dyDescent="0.35">
      <c r="A29" s="11" t="s">
        <v>153</v>
      </c>
      <c r="B29" s="12" t="s">
        <v>129</v>
      </c>
      <c r="C29" s="12" t="s">
        <v>154</v>
      </c>
      <c r="D29" s="12" t="s">
        <v>155</v>
      </c>
      <c r="E29" s="12" t="s">
        <v>156</v>
      </c>
      <c r="F29" s="16" t="s">
        <v>64</v>
      </c>
      <c r="G29" s="14" t="s">
        <v>41</v>
      </c>
      <c r="H29" s="28" t="s">
        <v>240</v>
      </c>
    </row>
    <row r="30" spans="1:8" x14ac:dyDescent="0.35">
      <c r="A30" s="7" t="s">
        <v>157</v>
      </c>
      <c r="B30" s="8" t="s">
        <v>158</v>
      </c>
      <c r="C30" s="8" t="s">
        <v>159</v>
      </c>
      <c r="D30" s="8" t="s">
        <v>160</v>
      </c>
      <c r="E30" s="8" t="s">
        <v>161</v>
      </c>
      <c r="F30" s="17" t="s">
        <v>59</v>
      </c>
      <c r="G30" s="10" t="s">
        <v>226</v>
      </c>
      <c r="H30" s="8"/>
    </row>
    <row r="31" spans="1:8" ht="25" x14ac:dyDescent="0.35">
      <c r="A31" s="11" t="s">
        <v>162</v>
      </c>
      <c r="B31" s="12" t="s">
        <v>158</v>
      </c>
      <c r="C31" s="12" t="s">
        <v>163</v>
      </c>
      <c r="D31" s="12" t="s">
        <v>164</v>
      </c>
      <c r="E31" s="12" t="s">
        <v>165</v>
      </c>
      <c r="F31" s="15" t="s">
        <v>59</v>
      </c>
      <c r="G31" s="14" t="s">
        <v>226</v>
      </c>
      <c r="H31" s="12"/>
    </row>
    <row r="32" spans="1:8" x14ac:dyDescent="0.35">
      <c r="A32" s="11" t="s">
        <v>166</v>
      </c>
      <c r="B32" s="12" t="s">
        <v>158</v>
      </c>
      <c r="C32" s="12" t="s">
        <v>167</v>
      </c>
      <c r="D32" s="12" t="s">
        <v>168</v>
      </c>
      <c r="E32" s="12" t="s">
        <v>169</v>
      </c>
      <c r="F32" s="13" t="s">
        <v>40</v>
      </c>
      <c r="G32" s="14" t="s">
        <v>226</v>
      </c>
      <c r="H32" s="12"/>
    </row>
    <row r="33" spans="1:8" ht="25" x14ac:dyDescent="0.35">
      <c r="A33" s="11" t="s">
        <v>170</v>
      </c>
      <c r="B33" s="12" t="s">
        <v>158</v>
      </c>
      <c r="C33" s="12" t="s">
        <v>171</v>
      </c>
      <c r="D33" s="12" t="s">
        <v>172</v>
      </c>
      <c r="E33" s="12" t="s">
        <v>173</v>
      </c>
      <c r="F33" s="15" t="s">
        <v>59</v>
      </c>
      <c r="G33" s="14" t="s">
        <v>226</v>
      </c>
      <c r="H33" s="12"/>
    </row>
    <row r="34" spans="1:8" ht="25" x14ac:dyDescent="0.35">
      <c r="A34" s="11" t="s">
        <v>174</v>
      </c>
      <c r="B34" s="12" t="s">
        <v>158</v>
      </c>
      <c r="C34" s="12" t="s">
        <v>175</v>
      </c>
      <c r="D34" s="12" t="s">
        <v>176</v>
      </c>
      <c r="E34" s="12" t="s">
        <v>177</v>
      </c>
      <c r="F34" s="13" t="s">
        <v>40</v>
      </c>
      <c r="G34" s="14" t="s">
        <v>226</v>
      </c>
      <c r="H34" s="12"/>
    </row>
    <row r="35" spans="1:8" ht="37.5" x14ac:dyDescent="0.35">
      <c r="A35" s="11" t="s">
        <v>178</v>
      </c>
      <c r="B35" s="12" t="s">
        <v>158</v>
      </c>
      <c r="C35" s="12" t="s">
        <v>179</v>
      </c>
      <c r="D35" s="12" t="s">
        <v>180</v>
      </c>
      <c r="E35" s="12" t="s">
        <v>181</v>
      </c>
      <c r="F35" s="13" t="s">
        <v>40</v>
      </c>
      <c r="G35" s="14" t="s">
        <v>226</v>
      </c>
      <c r="H35" s="12"/>
    </row>
    <row r="36" spans="1:8" ht="25" x14ac:dyDescent="0.35">
      <c r="A36" s="11" t="s">
        <v>182</v>
      </c>
      <c r="B36" s="12" t="s">
        <v>158</v>
      </c>
      <c r="C36" s="12" t="s">
        <v>183</v>
      </c>
      <c r="D36" s="12" t="s">
        <v>184</v>
      </c>
      <c r="E36" s="12" t="s">
        <v>185</v>
      </c>
      <c r="F36" s="16" t="s">
        <v>64</v>
      </c>
      <c r="G36" s="14" t="s">
        <v>226</v>
      </c>
      <c r="H36" s="12"/>
    </row>
    <row r="37" spans="1:8" ht="37.5" x14ac:dyDescent="0.35">
      <c r="A37" s="7" t="s">
        <v>186</v>
      </c>
      <c r="B37" s="8" t="s">
        <v>187</v>
      </c>
      <c r="C37" s="8" t="s">
        <v>188</v>
      </c>
      <c r="D37" s="8" t="s">
        <v>189</v>
      </c>
      <c r="E37" s="8" t="s">
        <v>190</v>
      </c>
      <c r="F37" s="17" t="s">
        <v>59</v>
      </c>
      <c r="G37" s="10" t="s">
        <v>226</v>
      </c>
      <c r="H37" s="8"/>
    </row>
    <row r="38" spans="1:8" ht="25" x14ac:dyDescent="0.35">
      <c r="A38" s="11" t="s">
        <v>191</v>
      </c>
      <c r="B38" s="12" t="s">
        <v>187</v>
      </c>
      <c r="C38" s="12" t="s">
        <v>192</v>
      </c>
      <c r="D38" s="12" t="s">
        <v>193</v>
      </c>
      <c r="E38" s="12" t="s">
        <v>194</v>
      </c>
      <c r="F38" s="15" t="s">
        <v>59</v>
      </c>
      <c r="G38" s="14" t="s">
        <v>226</v>
      </c>
      <c r="H38" s="12"/>
    </row>
    <row r="39" spans="1:8" ht="37.5" x14ac:dyDescent="0.35">
      <c r="A39" s="11" t="s">
        <v>195</v>
      </c>
      <c r="B39" s="12" t="s">
        <v>187</v>
      </c>
      <c r="C39" s="12" t="s">
        <v>196</v>
      </c>
      <c r="D39" s="12" t="s">
        <v>197</v>
      </c>
      <c r="E39" s="12" t="s">
        <v>198</v>
      </c>
      <c r="F39" s="15" t="s">
        <v>59</v>
      </c>
      <c r="G39" s="14" t="s">
        <v>226</v>
      </c>
      <c r="H39" s="28" t="s">
        <v>241</v>
      </c>
    </row>
    <row r="40" spans="1:8" ht="37.5" x14ac:dyDescent="0.35">
      <c r="A40" s="11" t="s">
        <v>199</v>
      </c>
      <c r="B40" s="12" t="s">
        <v>187</v>
      </c>
      <c r="C40" s="12" t="s">
        <v>200</v>
      </c>
      <c r="D40" s="12" t="s">
        <v>201</v>
      </c>
      <c r="E40" s="12" t="s">
        <v>202</v>
      </c>
      <c r="F40" s="16" t="s">
        <v>64</v>
      </c>
      <c r="G40" s="14" t="s">
        <v>226</v>
      </c>
      <c r="H40" s="28" t="s">
        <v>242</v>
      </c>
    </row>
    <row r="41" spans="1:8" ht="25" x14ac:dyDescent="0.35">
      <c r="A41" s="11" t="s">
        <v>203</v>
      </c>
      <c r="B41" s="12" t="s">
        <v>187</v>
      </c>
      <c r="C41" s="12" t="s">
        <v>204</v>
      </c>
      <c r="D41" s="12" t="s">
        <v>205</v>
      </c>
      <c r="E41" s="12" t="s">
        <v>206</v>
      </c>
      <c r="F41" s="16" t="s">
        <v>64</v>
      </c>
      <c r="G41" s="14" t="s">
        <v>226</v>
      </c>
      <c r="H41" s="12"/>
    </row>
    <row r="42" spans="1:8" ht="25" x14ac:dyDescent="0.35">
      <c r="A42" s="7" t="s">
        <v>207</v>
      </c>
      <c r="B42" s="8" t="s">
        <v>208</v>
      </c>
      <c r="C42" s="8" t="s">
        <v>209</v>
      </c>
      <c r="D42" s="8" t="s">
        <v>210</v>
      </c>
      <c r="E42" s="8" t="s">
        <v>211</v>
      </c>
      <c r="F42" s="17" t="s">
        <v>59</v>
      </c>
      <c r="G42" s="10" t="s">
        <v>226</v>
      </c>
      <c r="H42" s="32" t="s">
        <v>243</v>
      </c>
    </row>
    <row r="43" spans="1:8" ht="25" x14ac:dyDescent="0.35">
      <c r="A43" s="11" t="s">
        <v>212</v>
      </c>
      <c r="B43" s="12" t="s">
        <v>208</v>
      </c>
      <c r="C43" s="12" t="s">
        <v>213</v>
      </c>
      <c r="D43" s="12" t="s">
        <v>214</v>
      </c>
      <c r="E43" s="12" t="s">
        <v>215</v>
      </c>
      <c r="F43" s="15" t="s">
        <v>59</v>
      </c>
      <c r="G43" s="14" t="s">
        <v>226</v>
      </c>
      <c r="H43" s="12"/>
    </row>
    <row r="44" spans="1:8" ht="25" x14ac:dyDescent="0.35">
      <c r="A44" s="11" t="s">
        <v>216</v>
      </c>
      <c r="B44" s="12" t="s">
        <v>208</v>
      </c>
      <c r="C44" s="12" t="s">
        <v>217</v>
      </c>
      <c r="D44" s="12" t="s">
        <v>218</v>
      </c>
      <c r="E44" s="12" t="s">
        <v>219</v>
      </c>
      <c r="F44" s="13" t="s">
        <v>40</v>
      </c>
      <c r="G44" s="14" t="s">
        <v>226</v>
      </c>
      <c r="H44" s="12"/>
    </row>
    <row r="45" spans="1:8" ht="25" x14ac:dyDescent="0.35">
      <c r="A45" s="11" t="s">
        <v>220</v>
      </c>
      <c r="B45" s="12" t="s">
        <v>208</v>
      </c>
      <c r="C45" s="12" t="s">
        <v>221</v>
      </c>
      <c r="D45" s="12" t="s">
        <v>222</v>
      </c>
      <c r="E45" s="12" t="s">
        <v>223</v>
      </c>
      <c r="F45" s="13" t="s">
        <v>40</v>
      </c>
      <c r="G45" s="14" t="s">
        <v>228</v>
      </c>
      <c r="H45" s="28" t="s">
        <v>244</v>
      </c>
    </row>
  </sheetData>
  <autoFilter ref="A1:H45" xr:uid="{00000000-0009-0000-0000-000001000000}"/>
  <dataValidations count="1">
    <dataValidation type="list" allowBlank="1" error="Elegi un valor de la lista." prompt="Pendiente / OK / Falla / Bloqueado / N-A" sqref="G2:G45" xr:uid="{00000000-0002-0000-0100-000000000000}">
      <formula1>"Pendiente,OK,Falla,Bloqueado,N-A"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showGridLines="0" zoomScaleNormal="100" workbookViewId="0"/>
  </sheetViews>
  <sheetFormatPr baseColWidth="10" defaultColWidth="8.6328125" defaultRowHeight="14.5" x14ac:dyDescent="0.35"/>
  <cols>
    <col min="1" max="1" width="22" customWidth="1"/>
    <col min="2" max="3" width="14" customWidth="1"/>
  </cols>
  <sheetData>
    <row r="1" spans="1:3" ht="18" x14ac:dyDescent="0.4">
      <c r="A1" s="18" t="s">
        <v>224</v>
      </c>
    </row>
    <row r="3" spans="1:3" x14ac:dyDescent="0.35">
      <c r="A3" s="19" t="s">
        <v>33</v>
      </c>
      <c r="B3" s="19" t="s">
        <v>225</v>
      </c>
    </row>
    <row r="4" spans="1:3" x14ac:dyDescent="0.35">
      <c r="A4" s="20" t="s">
        <v>41</v>
      </c>
      <c r="B4" s="21">
        <f>COUNTIF('Casos de prueba'!$G$2:$G$45,$A4)</f>
        <v>2</v>
      </c>
    </row>
    <row r="5" spans="1:3" x14ac:dyDescent="0.35">
      <c r="A5" s="20" t="s">
        <v>226</v>
      </c>
      <c r="B5" s="21">
        <f>COUNTIF('Casos de prueba'!$G$2:$G$45,$A5)</f>
        <v>38</v>
      </c>
    </row>
    <row r="6" spans="1:3" x14ac:dyDescent="0.35">
      <c r="A6" s="20" t="s">
        <v>227</v>
      </c>
      <c r="B6" s="21">
        <f>COUNTIF('Casos de prueba'!$G$2:$G$45,$A6)</f>
        <v>0</v>
      </c>
    </row>
    <row r="7" spans="1:3" x14ac:dyDescent="0.35">
      <c r="A7" s="20" t="s">
        <v>228</v>
      </c>
      <c r="B7" s="21">
        <f>COUNTIF('Casos de prueba'!$G$2:$G$45,$A7)</f>
        <v>1</v>
      </c>
    </row>
    <row r="8" spans="1:3" x14ac:dyDescent="0.35">
      <c r="A8" s="20" t="s">
        <v>229</v>
      </c>
      <c r="B8" s="21">
        <f>COUNTIF('Casos de prueba'!$G$2:$G$45,$A8)</f>
        <v>3</v>
      </c>
    </row>
    <row r="9" spans="1:3" x14ac:dyDescent="0.35">
      <c r="A9" s="22" t="s">
        <v>230</v>
      </c>
      <c r="B9" s="23">
        <f>SUM($B$4:$B$8)</f>
        <v>44</v>
      </c>
    </row>
    <row r="11" spans="1:3" x14ac:dyDescent="0.35">
      <c r="A11" s="24" t="s">
        <v>231</v>
      </c>
    </row>
    <row r="12" spans="1:3" x14ac:dyDescent="0.35">
      <c r="A12" s="19" t="s">
        <v>32</v>
      </c>
      <c r="B12" s="19" t="s">
        <v>232</v>
      </c>
      <c r="C12" s="19" t="s">
        <v>233</v>
      </c>
    </row>
    <row r="13" spans="1:3" x14ac:dyDescent="0.35">
      <c r="A13" s="20" t="s">
        <v>59</v>
      </c>
      <c r="B13" s="21">
        <f>COUNTIFS('Casos de prueba'!$F$2:$F$45,$A13,'Casos de prueba'!$G$2:$G$45,"Pendiente")</f>
        <v>1</v>
      </c>
      <c r="C13" s="21">
        <f>COUNTIF('Casos de prueba'!$F$2:$F$45,$A13)</f>
        <v>22</v>
      </c>
    </row>
    <row r="14" spans="1:3" x14ac:dyDescent="0.35">
      <c r="A14" s="20" t="s">
        <v>40</v>
      </c>
      <c r="B14" s="21">
        <f>COUNTIFS('Casos de prueba'!$F$2:$F$45,$A14,'Casos de prueba'!$G$2:$G$45,"Pendiente")</f>
        <v>0</v>
      </c>
      <c r="C14" s="21">
        <f>COUNTIF('Casos de prueba'!$F$2:$F$45,$A14)</f>
        <v>17</v>
      </c>
    </row>
    <row r="15" spans="1:3" x14ac:dyDescent="0.35">
      <c r="A15" s="20" t="s">
        <v>64</v>
      </c>
      <c r="B15" s="21">
        <f>COUNTIFS('Casos de prueba'!$F$2:$F$45,$A15,'Casos de prueba'!$G$2:$G$45,"Pendiente")</f>
        <v>1</v>
      </c>
      <c r="C15" s="21">
        <f>COUNTIF('Casos de prueba'!$F$2:$F$45,$A15)</f>
        <v>5</v>
      </c>
    </row>
    <row r="18" spans="1:1" x14ac:dyDescent="0.35">
      <c r="A18" s="25" t="s">
        <v>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Casos de prueba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FARÉ VERGARA ANA VIRGINIA</cp:lastModifiedBy>
  <cp:revision>0</cp:revision>
  <dcterms:created xsi:type="dcterms:W3CDTF">2026-09-01T22:29:23Z</dcterms:created>
  <dcterms:modified xsi:type="dcterms:W3CDTF">2026-09-01T23:14:18Z</dcterms:modified>
  <dc:language>en-US</dc:language>
</cp:coreProperties>
</file>